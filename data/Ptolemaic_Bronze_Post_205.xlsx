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cd3b94f42b42404/Desktop/"/>
    </mc:Choice>
  </mc:AlternateContent>
  <xr:revisionPtr revIDLastSave="0" documentId="8_{047FEE79-8D06-4190-A965-CCFB6F1D265C}" xr6:coauthVersionLast="47" xr6:coauthVersionMax="47" xr10:uidLastSave="{00000000-0000-0000-0000-000000000000}"/>
  <bookViews>
    <workbookView xWindow="-108" yWindow="-108" windowWidth="30936" windowHeight="16776" tabRatio="500" xr2:uid="{00000000-000D-0000-FFFF-FFFF00000000}"/>
  </bookViews>
  <sheets>
    <sheet name="Coins" sheetId="2" r:id="rId1"/>
    <sheet name="Series Summary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0" i="3" l="1"/>
  <c r="G10" i="3"/>
  <c r="E10" i="3"/>
  <c r="D10" i="3"/>
  <c r="H9" i="3"/>
  <c r="G9" i="3"/>
  <c r="E9" i="3"/>
  <c r="D9" i="3"/>
  <c r="H8" i="3"/>
  <c r="G8" i="3"/>
  <c r="E8" i="3"/>
  <c r="D8" i="3"/>
  <c r="H7" i="3"/>
  <c r="G7" i="3"/>
  <c r="E7" i="3"/>
  <c r="D7" i="3"/>
  <c r="H6" i="3"/>
  <c r="G6" i="3"/>
  <c r="E6" i="3"/>
  <c r="D6" i="3"/>
  <c r="H5" i="3"/>
  <c r="G5" i="3"/>
  <c r="E5" i="3"/>
  <c r="D5" i="3"/>
  <c r="H4" i="3"/>
  <c r="G4" i="3"/>
  <c r="E4" i="3"/>
  <c r="D4" i="3"/>
  <c r="H3" i="3"/>
  <c r="G3" i="3"/>
  <c r="E3" i="3"/>
  <c r="D3" i="3"/>
  <c r="H2" i="3"/>
  <c r="G2" i="3"/>
  <c r="E2" i="3"/>
  <c r="D2" i="3"/>
  <c r="Q40" i="2"/>
  <c r="O40" i="2"/>
  <c r="N40" i="2"/>
  <c r="Q39" i="2"/>
  <c r="O39" i="2"/>
  <c r="F10" i="3" s="1"/>
  <c r="N39" i="2"/>
  <c r="Q38" i="2"/>
  <c r="O38" i="2"/>
  <c r="N38" i="2"/>
  <c r="Q37" i="2"/>
  <c r="O37" i="2"/>
  <c r="F9" i="3" s="1"/>
  <c r="N37" i="2"/>
  <c r="Q36" i="2"/>
  <c r="O36" i="2"/>
  <c r="N36" i="2"/>
  <c r="Q35" i="2"/>
  <c r="O35" i="2"/>
  <c r="N35" i="2"/>
  <c r="Q34" i="2"/>
  <c r="O34" i="2"/>
  <c r="N34" i="2"/>
  <c r="Q33" i="2"/>
  <c r="O33" i="2"/>
  <c r="F8" i="3" s="1"/>
  <c r="N33" i="2"/>
  <c r="Q32" i="2"/>
  <c r="O32" i="2"/>
  <c r="N32" i="2"/>
  <c r="Q31" i="2"/>
  <c r="O31" i="2"/>
  <c r="N31" i="2"/>
  <c r="Q30" i="2"/>
  <c r="O30" i="2"/>
  <c r="N30" i="2"/>
  <c r="Q29" i="2"/>
  <c r="O29" i="2"/>
  <c r="N29" i="2"/>
  <c r="Q28" i="2"/>
  <c r="O28" i="2"/>
  <c r="N28" i="2"/>
  <c r="Q27" i="2"/>
  <c r="O27" i="2"/>
  <c r="N27" i="2"/>
  <c r="Q26" i="2"/>
  <c r="O26" i="2"/>
  <c r="F6" i="3" s="1"/>
  <c r="N26" i="2"/>
  <c r="Q25" i="2"/>
  <c r="O25" i="2"/>
  <c r="N25" i="2"/>
  <c r="Q24" i="2"/>
  <c r="O24" i="2"/>
  <c r="N24" i="2"/>
  <c r="Q23" i="2"/>
  <c r="O23" i="2"/>
  <c r="F5" i="3" s="1"/>
  <c r="I5" i="3" s="1"/>
  <c r="N23" i="2"/>
  <c r="Q22" i="2"/>
  <c r="O22" i="2"/>
  <c r="N22" i="2"/>
  <c r="Q21" i="2"/>
  <c r="O21" i="2"/>
  <c r="N21" i="2"/>
  <c r="Q20" i="2"/>
  <c r="O20" i="2"/>
  <c r="N20" i="2"/>
  <c r="Q19" i="2"/>
  <c r="O19" i="2"/>
  <c r="N19" i="2"/>
  <c r="Q18" i="2"/>
  <c r="O18" i="2"/>
  <c r="N18" i="2"/>
  <c r="Q17" i="2"/>
  <c r="O17" i="2"/>
  <c r="N17" i="2"/>
  <c r="Q16" i="2"/>
  <c r="O16" i="2"/>
  <c r="N16" i="2"/>
  <c r="Q15" i="2"/>
  <c r="O15" i="2"/>
  <c r="N15" i="2"/>
  <c r="Q14" i="2"/>
  <c r="O14" i="2"/>
  <c r="N14" i="2"/>
  <c r="Q13" i="2"/>
  <c r="O13" i="2"/>
  <c r="N13" i="2"/>
  <c r="Q12" i="2"/>
  <c r="O12" i="2"/>
  <c r="F3" i="3" s="1"/>
  <c r="I3" i="3" s="1"/>
  <c r="N12" i="2"/>
  <c r="Q11" i="2"/>
  <c r="O11" i="2"/>
  <c r="N11" i="2"/>
  <c r="Q10" i="2"/>
  <c r="O10" i="2"/>
  <c r="N10" i="2"/>
  <c r="Q9" i="2"/>
  <c r="O9" i="2"/>
  <c r="N9" i="2"/>
  <c r="Q8" i="2"/>
  <c r="O8" i="2"/>
  <c r="N8" i="2"/>
  <c r="Q7" i="2"/>
  <c r="O7" i="2"/>
  <c r="N7" i="2"/>
  <c r="Q6" i="2"/>
  <c r="O6" i="2"/>
  <c r="N6" i="2"/>
  <c r="Q5" i="2"/>
  <c r="O5" i="2"/>
  <c r="N5" i="2"/>
  <c r="Q4" i="2"/>
  <c r="O4" i="2"/>
  <c r="N4" i="2"/>
  <c r="Q3" i="2"/>
  <c r="O3" i="2"/>
  <c r="N3" i="2"/>
  <c r="Q2" i="2"/>
  <c r="O2" i="2"/>
  <c r="F2" i="3" s="1"/>
  <c r="I2" i="3" s="1"/>
  <c r="N2" i="2"/>
  <c r="F4" i="3" l="1"/>
  <c r="F7" i="3"/>
  <c r="I7" i="3" s="1"/>
  <c r="I8" i="3"/>
  <c r="I9" i="3"/>
  <c r="I10" i="3"/>
  <c r="I4" i="3"/>
  <c r="I6" i="3"/>
</calcChain>
</file>

<file path=xl/sharedStrings.xml><?xml version="1.0" encoding="utf-8"?>
<sst xmlns="http://schemas.openxmlformats.org/spreadsheetml/2006/main" count="318" uniqueCount="114">
  <si>
    <t>https://www.academia.edu/83883614/A_Metrological_Survey_of_Ptolemaic_Bronze_Coins_II_Alexandria_First_and_Second_Centuries_BC</t>
  </si>
  <si>
    <t>Series order</t>
  </si>
  <si>
    <t>Catalog ref</t>
  </si>
  <si>
    <t>Type</t>
  </si>
  <si>
    <t>Face value (units)</t>
  </si>
  <si>
    <t>Weight basis</t>
  </si>
  <si>
    <t>Grams per unit</t>
  </si>
  <si>
    <t>Web page weight (g)</t>
  </si>
  <si>
    <t>Paper minus web page (g)</t>
  </si>
  <si>
    <t>Sv1424B</t>
  </si>
  <si>
    <t>Series</t>
  </si>
  <si>
    <t>Date</t>
  </si>
  <si>
    <t>Date anchored?</t>
  </si>
  <si>
    <t>Mean weight (g)</t>
  </si>
  <si>
    <t>Specimens (n)</t>
  </si>
  <si>
    <t>Outliers excluded</t>
  </si>
  <si>
    <t>SD (g)</t>
  </si>
  <si>
    <t>GK mode (g)</t>
  </si>
  <si>
    <t>Weight source (AJN 2021)</t>
  </si>
  <si>
    <t>Speculative assignment?</t>
  </si>
  <si>
    <t>Standard 3, unmarked</t>
  </si>
  <si>
    <t>Late 3rd to early 2nd c. BC</t>
  </si>
  <si>
    <t>No</t>
  </si>
  <si>
    <t>Sv1423 Horn A</t>
  </si>
  <si>
    <t>Zeus Ammon, large horn at forehead / two eagles</t>
  </si>
  <si>
    <t>Table 2</t>
  </si>
  <si>
    <t>Sv1423 Horn B</t>
  </si>
  <si>
    <t>Zeus Ammon, large horn at top of head / two eagles</t>
  </si>
  <si>
    <t>Sv1423 Horn C</t>
  </si>
  <si>
    <t>Zeus Ammon, normal horn / two eagles</t>
  </si>
  <si>
    <t>Sv1491</t>
  </si>
  <si>
    <t>Large Isis, style 1 (small head, graduated curls)</t>
  </si>
  <si>
    <t>Table 3</t>
  </si>
  <si>
    <t>Sv1233</t>
  </si>
  <si>
    <t>Large Isis, style 2 (large head, equal curls)</t>
  </si>
  <si>
    <t>Sv1492</t>
  </si>
  <si>
    <t>Heracles in lion skin, large</t>
  </si>
  <si>
    <t>Table 4</t>
  </si>
  <si>
    <t>Sv1493</t>
  </si>
  <si>
    <t>Alexander in elephant skin, large</t>
  </si>
  <si>
    <t>Sv1154</t>
  </si>
  <si>
    <t>Isis (Demeter/Isis), closed-wing eagle</t>
  </si>
  <si>
    <t>Yes</t>
  </si>
  <si>
    <t>Sv1496</t>
  </si>
  <si>
    <t>Heracles, small</t>
  </si>
  <si>
    <t>Sv1155</t>
  </si>
  <si>
    <t>Helmeted warrior</t>
  </si>
  <si>
    <t>Standard 4, unmarked</t>
  </si>
  <si>
    <t>2nd c. BC</t>
  </si>
  <si>
    <t>Zeus Ammon / two eagles, cornucopia</t>
  </si>
  <si>
    <t>Sv1234</t>
  </si>
  <si>
    <t>Isis (Demeter/Isis), medium 1</t>
  </si>
  <si>
    <t>Sv1494</t>
  </si>
  <si>
    <t>Heracles, medium</t>
  </si>
  <si>
    <t>Sv1236 (= Sv1495)</t>
  </si>
  <si>
    <t>Alexander, medium</t>
  </si>
  <si>
    <t>Sv1238</t>
  </si>
  <si>
    <t>Standard 4, Class 1 (K mark)</t>
  </si>
  <si>
    <t>Sv1375 (monogram variant)</t>
  </si>
  <si>
    <t>Zeus Ammon</t>
  </si>
  <si>
    <t>Table 1</t>
  </si>
  <si>
    <t>Sv1375 K</t>
  </si>
  <si>
    <t>Sv1376</t>
  </si>
  <si>
    <t>Heracles</t>
  </si>
  <si>
    <t>Sv1377</t>
  </si>
  <si>
    <t>Sv1378</t>
  </si>
  <si>
    <t>Nilus</t>
  </si>
  <si>
    <t>Sv1379</t>
  </si>
  <si>
    <t>Standard 5, unmarked</t>
  </si>
  <si>
    <t>Sv1235</t>
  </si>
  <si>
    <t>Isis (Demeter/Isis), medium 2</t>
  </si>
  <si>
    <t>Sv1426</t>
  </si>
  <si>
    <t>Zeus Ammon / two eagles, cornucopia, small</t>
  </si>
  <si>
    <t>Standard 5, Class 2 (Kleopatra inscription)</t>
  </si>
  <si>
    <t>c. 168-163 BC</t>
  </si>
  <si>
    <t>Sv1380</t>
  </si>
  <si>
    <t>Sv1381</t>
  </si>
  <si>
    <t>Alexander</t>
  </si>
  <si>
    <t>Sv1382</t>
  </si>
  <si>
    <t>Isis</t>
  </si>
  <si>
    <t>Standard 5, Class 3</t>
  </si>
  <si>
    <t>Around 168-163 BC, before and after</t>
  </si>
  <si>
    <t>Sv1383</t>
  </si>
  <si>
    <t>Sv1384</t>
  </si>
  <si>
    <t>Sv1385</t>
  </si>
  <si>
    <t>Sv1386</t>
  </si>
  <si>
    <t>Class 4, dated (Ptolemy IX and Cleopatra III)</t>
  </si>
  <si>
    <t>c. 115-112 BC (paper); 114-113 BC (web page)</t>
  </si>
  <si>
    <t>Sv1190</t>
  </si>
  <si>
    <t>Zeus Ammon, year 3</t>
  </si>
  <si>
    <t>Sv1193</t>
  </si>
  <si>
    <t>Zeus Ammon, year 4</t>
  </si>
  <si>
    <t>Sv1191</t>
  </si>
  <si>
    <t>Heracles, year 3</t>
  </si>
  <si>
    <t>Sv1194</t>
  </si>
  <si>
    <t>Athena, year 4</t>
  </si>
  <si>
    <t>Class 5</t>
  </si>
  <si>
    <t>After Class 4, undated</t>
  </si>
  <si>
    <t>Sv1732</t>
  </si>
  <si>
    <t>Zeus Ammon / eagle, K-Lambda</t>
  </si>
  <si>
    <t>Sv1733</t>
  </si>
  <si>
    <t>Zeus Ammon / eagle, B-A</t>
  </si>
  <si>
    <t>Class 6 (Cleopatra VII)</t>
  </si>
  <si>
    <t>c. 50-30 BC</t>
  </si>
  <si>
    <t>Sv1871</t>
  </si>
  <si>
    <t>Cleopatra VII portrait, Pi mark (80)</t>
  </si>
  <si>
    <t>Sv1872</t>
  </si>
  <si>
    <t>Cleopatra VII portrait, M mark (40)</t>
  </si>
  <si>
    <t>Coin types</t>
  </si>
  <si>
    <t>Specimens behind the means</t>
  </si>
  <si>
    <t>Avg grams per unit</t>
  </si>
  <si>
    <t>Largest face value (units)</t>
  </si>
  <si>
    <t>Heaviest type mean (g)</t>
  </si>
  <si>
    <t>Change in g per unit vs Standard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</si>
</sst>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;\-0.00;0.00"/>
    <numFmt numFmtId="166" formatCode="0.0%"/>
  </numFmts>
  <fonts count="5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u/>
      <sz val="10"/>
      <color rgb="FF0563C1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vertical="center" wrapText="1"/>
    </xf>
    <xf numFmtId="0" fontId="1" fillId="0" borderId="0" xfId="0" applyFont="1"/>
    <xf numFmtId="0" fontId="4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cademia.edu/83883614/A_Metrological_Survey_of_Ptolemaic_Bronze_Coins_II_Alexandria_First_and_Second_Centuries_BC" TargetMode="External"/><Relationship Id="rId1" Type="http://schemas.openxmlformats.org/officeDocument/2006/relationships/hyperlink" Target="https://www.academia.edu/83883614/A_Metrological_Survey_of_Ptolemaic_Bronze_Coins_II_Alexandria_First_and_Second_Centuries_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0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defaultColWidth="8.6640625" defaultRowHeight="14.4" x14ac:dyDescent="0.3"/>
  <cols>
    <col min="1" max="1" width="8" customWidth="1"/>
    <col min="2" max="2" width="40" customWidth="1"/>
    <col min="3" max="3" width="30" customWidth="1"/>
    <col min="4" max="4" width="10" customWidth="1"/>
    <col min="5" max="5" width="22" customWidth="1"/>
    <col min="6" max="6" width="44" customWidth="1"/>
    <col min="7" max="9" width="10" customWidth="1"/>
    <col min="10" max="10" width="9" customWidth="1"/>
    <col min="11" max="11" width="8" customWidth="1"/>
    <col min="12" max="12" width="9" customWidth="1"/>
    <col min="13" max="13" width="12" customWidth="1"/>
    <col min="14" max="14" width="30" customWidth="1"/>
    <col min="15" max="16" width="10" customWidth="1"/>
    <col min="17" max="17" width="11" customWidth="1"/>
    <col min="18" max="18" width="116.21875" bestFit="1" customWidth="1"/>
  </cols>
  <sheetData>
    <row r="1" spans="1:18" ht="45" customHeight="1" x14ac:dyDescent="0.3">
      <c r="A1" s="1" t="s">
        <v>1</v>
      </c>
      <c r="B1" s="1" t="s">
        <v>10</v>
      </c>
      <c r="C1" s="1" t="s">
        <v>11</v>
      </c>
      <c r="D1" s="1" t="s">
        <v>12</v>
      </c>
      <c r="E1" s="1" t="s">
        <v>2</v>
      </c>
      <c r="F1" s="1" t="s">
        <v>3</v>
      </c>
      <c r="G1" s="1" t="s">
        <v>4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19</v>
      </c>
    </row>
    <row r="2" spans="1:18" x14ac:dyDescent="0.3">
      <c r="A2" s="2">
        <v>1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3">
        <v>100</v>
      </c>
      <c r="H2" s="3">
        <v>40.700000000000003</v>
      </c>
      <c r="I2" s="3">
        <v>21</v>
      </c>
      <c r="J2" s="3">
        <v>1</v>
      </c>
      <c r="K2" s="3">
        <v>2.16</v>
      </c>
      <c r="L2" s="3">
        <v>41.7</v>
      </c>
      <c r="M2" s="2" t="s">
        <v>25</v>
      </c>
      <c r="N2" s="2" t="str">
        <f t="shared" ref="N2:N40" si="0">IF(I2&gt;=30,"Type mean, n of 30 or more",IF(I2&gt;=10,"Type mean, n of 10 to 29","Type mean, fewer than 10 specimens"))</f>
        <v>Type mean, n of 10 to 29</v>
      </c>
      <c r="O2" s="4">
        <f>H2/G2</f>
        <v>0.40700000000000003</v>
      </c>
      <c r="P2" s="3">
        <v>40.700000000000003</v>
      </c>
      <c r="Q2" s="5">
        <f t="shared" ref="Q2:Q40" si="1">IF(P2="","",H2-P2)</f>
        <v>0</v>
      </c>
      <c r="R2" s="7" t="s">
        <v>0</v>
      </c>
    </row>
    <row r="3" spans="1:18" x14ac:dyDescent="0.3">
      <c r="A3" s="2">
        <v>1</v>
      </c>
      <c r="B3" s="2" t="s">
        <v>20</v>
      </c>
      <c r="C3" s="2" t="s">
        <v>21</v>
      </c>
      <c r="D3" s="2" t="s">
        <v>22</v>
      </c>
      <c r="E3" s="2" t="s">
        <v>26</v>
      </c>
      <c r="F3" s="2" t="s">
        <v>27</v>
      </c>
      <c r="G3" s="3">
        <v>100</v>
      </c>
      <c r="H3" s="3">
        <v>39</v>
      </c>
      <c r="I3" s="3">
        <v>54</v>
      </c>
      <c r="J3" s="3">
        <v>0</v>
      </c>
      <c r="K3" s="3">
        <v>4.26</v>
      </c>
      <c r="L3" s="3">
        <v>38.5</v>
      </c>
      <c r="M3" s="2" t="s">
        <v>25</v>
      </c>
      <c r="N3" s="2" t="str">
        <f t="shared" si="0"/>
        <v>Type mean, n of 30 or more</v>
      </c>
      <c r="O3" s="4">
        <f>H3/G3</f>
        <v>0.39</v>
      </c>
      <c r="P3" s="3">
        <v>39</v>
      </c>
      <c r="Q3" s="5">
        <f t="shared" si="1"/>
        <v>0</v>
      </c>
      <c r="R3" s="7" t="s">
        <v>0</v>
      </c>
    </row>
    <row r="4" spans="1:18" x14ac:dyDescent="0.3">
      <c r="A4" s="2">
        <v>1</v>
      </c>
      <c r="B4" s="2" t="s">
        <v>20</v>
      </c>
      <c r="C4" s="2" t="s">
        <v>21</v>
      </c>
      <c r="D4" s="2" t="s">
        <v>22</v>
      </c>
      <c r="E4" s="2" t="s">
        <v>28</v>
      </c>
      <c r="F4" s="2" t="s">
        <v>29</v>
      </c>
      <c r="G4" s="3">
        <v>100</v>
      </c>
      <c r="H4" s="3">
        <v>38.5</v>
      </c>
      <c r="I4" s="3">
        <v>22</v>
      </c>
      <c r="J4" s="3">
        <v>0</v>
      </c>
      <c r="K4" s="3">
        <v>2.82</v>
      </c>
      <c r="L4" s="3">
        <v>37.1</v>
      </c>
      <c r="M4" s="2" t="s">
        <v>25</v>
      </c>
      <c r="N4" s="2" t="str">
        <f t="shared" si="0"/>
        <v>Type mean, n of 10 to 29</v>
      </c>
      <c r="O4" s="4">
        <f>H4/G4</f>
        <v>0.38500000000000001</v>
      </c>
      <c r="P4" s="3">
        <v>38.5</v>
      </c>
      <c r="Q4" s="5">
        <f t="shared" si="1"/>
        <v>0</v>
      </c>
      <c r="R4" s="7" t="s">
        <v>0</v>
      </c>
    </row>
    <row r="5" spans="1:18" x14ac:dyDescent="0.3">
      <c r="A5" s="2">
        <v>1</v>
      </c>
      <c r="B5" s="2" t="s">
        <v>20</v>
      </c>
      <c r="C5" s="2" t="s">
        <v>21</v>
      </c>
      <c r="D5" s="2" t="s">
        <v>22</v>
      </c>
      <c r="E5" s="2" t="s">
        <v>30</v>
      </c>
      <c r="F5" s="2" t="s">
        <v>31</v>
      </c>
      <c r="G5" s="3">
        <v>75</v>
      </c>
      <c r="H5" s="3">
        <v>30.1</v>
      </c>
      <c r="I5" s="3">
        <v>33</v>
      </c>
      <c r="J5" s="3">
        <v>0</v>
      </c>
      <c r="K5" s="3">
        <v>3.81</v>
      </c>
      <c r="L5" s="3">
        <v>31.5</v>
      </c>
      <c r="M5" s="2" t="s">
        <v>32</v>
      </c>
      <c r="N5" s="2" t="str">
        <f t="shared" si="0"/>
        <v>Type mean, n of 30 or more</v>
      </c>
      <c r="O5" s="4">
        <f>H5/G5</f>
        <v>0.40133333333333338</v>
      </c>
      <c r="P5" s="3">
        <v>28.7</v>
      </c>
      <c r="Q5" s="5">
        <f t="shared" si="1"/>
        <v>1.4000000000000021</v>
      </c>
      <c r="R5" s="7" t="s">
        <v>0</v>
      </c>
    </row>
    <row r="6" spans="1:18" x14ac:dyDescent="0.3">
      <c r="A6" s="2">
        <v>1</v>
      </c>
      <c r="B6" s="2" t="s">
        <v>20</v>
      </c>
      <c r="C6" s="2" t="s">
        <v>21</v>
      </c>
      <c r="D6" s="2" t="s">
        <v>22</v>
      </c>
      <c r="E6" s="2" t="s">
        <v>33</v>
      </c>
      <c r="F6" s="2" t="s">
        <v>34</v>
      </c>
      <c r="G6" s="3">
        <v>75</v>
      </c>
      <c r="H6" s="3">
        <v>28.7</v>
      </c>
      <c r="I6" s="3">
        <v>35</v>
      </c>
      <c r="J6" s="3">
        <v>2</v>
      </c>
      <c r="K6" s="3">
        <v>2.57</v>
      </c>
      <c r="L6" s="3">
        <v>28.2</v>
      </c>
      <c r="M6" s="2" t="s">
        <v>32</v>
      </c>
      <c r="N6" s="2" t="str">
        <f t="shared" si="0"/>
        <v>Type mean, n of 30 or more</v>
      </c>
      <c r="O6" s="4">
        <f>H6/G6</f>
        <v>0.38266666666666665</v>
      </c>
      <c r="P6" s="3">
        <v>30</v>
      </c>
      <c r="Q6" s="5">
        <f t="shared" si="1"/>
        <v>-1.3000000000000007</v>
      </c>
      <c r="R6" s="7" t="s">
        <v>0</v>
      </c>
    </row>
    <row r="7" spans="1:18" x14ac:dyDescent="0.3">
      <c r="A7" s="2">
        <v>1</v>
      </c>
      <c r="B7" s="2" t="s">
        <v>20</v>
      </c>
      <c r="C7" s="2" t="s">
        <v>21</v>
      </c>
      <c r="D7" s="2" t="s">
        <v>22</v>
      </c>
      <c r="E7" s="2" t="s">
        <v>35</v>
      </c>
      <c r="F7" s="2" t="s">
        <v>36</v>
      </c>
      <c r="G7" s="3">
        <v>50</v>
      </c>
      <c r="H7" s="3">
        <v>18.899999999999999</v>
      </c>
      <c r="I7" s="3">
        <v>38</v>
      </c>
      <c r="J7" s="3">
        <v>0</v>
      </c>
      <c r="K7" s="3">
        <v>2.71</v>
      </c>
      <c r="L7" s="3">
        <v>17.600000000000001</v>
      </c>
      <c r="M7" s="2" t="s">
        <v>37</v>
      </c>
      <c r="N7" s="2" t="str">
        <f t="shared" si="0"/>
        <v>Type mean, n of 30 or more</v>
      </c>
      <c r="O7" s="4">
        <f>H7/G7</f>
        <v>0.37799999999999995</v>
      </c>
      <c r="P7" s="3">
        <v>19.8</v>
      </c>
      <c r="Q7" s="5">
        <f t="shared" si="1"/>
        <v>-0.90000000000000213</v>
      </c>
      <c r="R7" s="7" t="s">
        <v>0</v>
      </c>
    </row>
    <row r="8" spans="1:18" x14ac:dyDescent="0.3">
      <c r="A8" s="2">
        <v>1</v>
      </c>
      <c r="B8" s="2" t="s">
        <v>20</v>
      </c>
      <c r="C8" s="2" t="s">
        <v>21</v>
      </c>
      <c r="D8" s="2" t="s">
        <v>22</v>
      </c>
      <c r="E8" s="2" t="s">
        <v>38</v>
      </c>
      <c r="F8" s="2" t="s">
        <v>39</v>
      </c>
      <c r="G8" s="3">
        <v>40</v>
      </c>
      <c r="H8" s="3">
        <v>15.1</v>
      </c>
      <c r="I8" s="3">
        <v>80</v>
      </c>
      <c r="J8" s="3">
        <v>0</v>
      </c>
      <c r="K8" s="3">
        <v>2.1</v>
      </c>
      <c r="L8" s="3">
        <v>14.9</v>
      </c>
      <c r="M8" s="2" t="s">
        <v>37</v>
      </c>
      <c r="N8" s="2" t="str">
        <f t="shared" si="0"/>
        <v>Type mean, n of 30 or more</v>
      </c>
      <c r="O8" s="4">
        <f>H8/G8</f>
        <v>0.3775</v>
      </c>
      <c r="P8" s="3">
        <v>15.2</v>
      </c>
      <c r="Q8" s="5">
        <f t="shared" si="1"/>
        <v>-9.9999999999999645E-2</v>
      </c>
      <c r="R8" s="7" t="s">
        <v>0</v>
      </c>
    </row>
    <row r="9" spans="1:18" x14ac:dyDescent="0.3">
      <c r="A9" s="2">
        <v>1</v>
      </c>
      <c r="B9" s="2" t="s">
        <v>20</v>
      </c>
      <c r="C9" s="2" t="s">
        <v>21</v>
      </c>
      <c r="D9" s="2" t="s">
        <v>22</v>
      </c>
      <c r="E9" s="2" t="s">
        <v>40</v>
      </c>
      <c r="F9" s="2" t="s">
        <v>41</v>
      </c>
      <c r="G9" s="3">
        <v>20</v>
      </c>
      <c r="H9" s="3">
        <v>7.31</v>
      </c>
      <c r="I9" s="3">
        <v>66</v>
      </c>
      <c r="J9" s="3">
        <v>2</v>
      </c>
      <c r="K9" s="3">
        <v>1.08</v>
      </c>
      <c r="L9" s="3">
        <v>7.58</v>
      </c>
      <c r="M9" s="2" t="s">
        <v>32</v>
      </c>
      <c r="N9" s="2" t="str">
        <f t="shared" si="0"/>
        <v>Type mean, n of 30 or more</v>
      </c>
      <c r="O9" s="4">
        <f>H9/G9</f>
        <v>0.36549999999999999</v>
      </c>
      <c r="P9" s="3">
        <v>7.57</v>
      </c>
      <c r="Q9" s="5">
        <f t="shared" si="1"/>
        <v>-0.26000000000000068</v>
      </c>
      <c r="R9" s="7" t="s">
        <v>0</v>
      </c>
    </row>
    <row r="10" spans="1:18" x14ac:dyDescent="0.3">
      <c r="A10" s="2">
        <v>1</v>
      </c>
      <c r="B10" s="2" t="s">
        <v>20</v>
      </c>
      <c r="C10" s="2" t="s">
        <v>21</v>
      </c>
      <c r="D10" s="2" t="s">
        <v>22</v>
      </c>
      <c r="E10" s="2" t="s">
        <v>43</v>
      </c>
      <c r="F10" s="2" t="s">
        <v>44</v>
      </c>
      <c r="G10" s="3">
        <v>10</v>
      </c>
      <c r="H10" s="3">
        <v>3.72</v>
      </c>
      <c r="I10" s="3">
        <v>2</v>
      </c>
      <c r="J10" s="3"/>
      <c r="K10" s="3"/>
      <c r="L10" s="3"/>
      <c r="M10" s="2" t="s">
        <v>37</v>
      </c>
      <c r="N10" s="2" t="str">
        <f t="shared" si="0"/>
        <v>Type mean, fewer than 10 specimens</v>
      </c>
      <c r="O10" s="4">
        <f>H10/G10</f>
        <v>0.372</v>
      </c>
      <c r="P10" s="3">
        <v>3.9</v>
      </c>
      <c r="Q10" s="5">
        <f t="shared" si="1"/>
        <v>-0.17999999999999972</v>
      </c>
      <c r="R10" s="7" t="s">
        <v>0</v>
      </c>
    </row>
    <row r="11" spans="1:18" x14ac:dyDescent="0.3">
      <c r="A11" s="2">
        <v>1</v>
      </c>
      <c r="B11" s="2" t="s">
        <v>20</v>
      </c>
      <c r="C11" s="2" t="s">
        <v>21</v>
      </c>
      <c r="D11" s="2" t="s">
        <v>22</v>
      </c>
      <c r="E11" s="2" t="s">
        <v>45</v>
      </c>
      <c r="F11" s="2" t="s">
        <v>46</v>
      </c>
      <c r="G11" s="3">
        <v>10</v>
      </c>
      <c r="H11" s="3">
        <v>3.91</v>
      </c>
      <c r="I11" s="3">
        <v>28</v>
      </c>
      <c r="J11" s="3">
        <v>1</v>
      </c>
      <c r="K11" s="3">
        <v>0.63</v>
      </c>
      <c r="L11" s="3">
        <v>4.21</v>
      </c>
      <c r="M11" s="2" t="s">
        <v>37</v>
      </c>
      <c r="N11" s="2" t="str">
        <f t="shared" si="0"/>
        <v>Type mean, n of 10 to 29</v>
      </c>
      <c r="O11" s="4">
        <f>H11/G11</f>
        <v>0.39100000000000001</v>
      </c>
      <c r="P11" s="3">
        <v>3.9</v>
      </c>
      <c r="Q11" s="5">
        <f t="shared" si="1"/>
        <v>1.0000000000000231E-2</v>
      </c>
      <c r="R11" s="7" t="s">
        <v>0</v>
      </c>
    </row>
    <row r="12" spans="1:18" x14ac:dyDescent="0.3">
      <c r="A12" s="2">
        <v>2</v>
      </c>
      <c r="B12" s="2" t="s">
        <v>47</v>
      </c>
      <c r="C12" s="2" t="s">
        <v>48</v>
      </c>
      <c r="D12" s="2" t="s">
        <v>22</v>
      </c>
      <c r="E12" s="2" t="s">
        <v>9</v>
      </c>
      <c r="F12" s="2" t="s">
        <v>49</v>
      </c>
      <c r="G12" s="3">
        <v>100</v>
      </c>
      <c r="H12" s="3">
        <v>22.5</v>
      </c>
      <c r="I12" s="3">
        <v>907</v>
      </c>
      <c r="J12" s="3">
        <v>93</v>
      </c>
      <c r="K12" s="3">
        <v>1.9</v>
      </c>
      <c r="L12" s="3">
        <v>22.6</v>
      </c>
      <c r="M12" s="2" t="s">
        <v>25</v>
      </c>
      <c r="N12" s="2" t="str">
        <f t="shared" si="0"/>
        <v>Type mean, n of 30 or more</v>
      </c>
      <c r="O12" s="4">
        <f>H12/G12</f>
        <v>0.22500000000000001</v>
      </c>
      <c r="P12" s="3">
        <v>21.9</v>
      </c>
      <c r="Q12" s="5">
        <f t="shared" si="1"/>
        <v>0.60000000000000142</v>
      </c>
      <c r="R12" s="7" t="s">
        <v>0</v>
      </c>
    </row>
    <row r="13" spans="1:18" x14ac:dyDescent="0.3">
      <c r="A13" s="2">
        <v>2</v>
      </c>
      <c r="B13" s="2" t="s">
        <v>47</v>
      </c>
      <c r="C13" s="2" t="s">
        <v>48</v>
      </c>
      <c r="D13" s="2" t="s">
        <v>22</v>
      </c>
      <c r="E13" s="2" t="s">
        <v>50</v>
      </c>
      <c r="F13" s="2" t="s">
        <v>51</v>
      </c>
      <c r="G13" s="3">
        <v>80</v>
      </c>
      <c r="H13" s="3">
        <v>18</v>
      </c>
      <c r="I13" s="3">
        <v>193</v>
      </c>
      <c r="J13" s="3">
        <v>3</v>
      </c>
      <c r="K13" s="3">
        <v>1.95</v>
      </c>
      <c r="L13" s="3">
        <v>18.899999999999999</v>
      </c>
      <c r="M13" s="2" t="s">
        <v>32</v>
      </c>
      <c r="N13" s="2" t="str">
        <f t="shared" si="0"/>
        <v>Type mean, n of 30 or more</v>
      </c>
      <c r="O13" s="4">
        <f>H13/G13</f>
        <v>0.22500000000000001</v>
      </c>
      <c r="P13" s="3">
        <v>17.100000000000001</v>
      </c>
      <c r="Q13" s="5">
        <f t="shared" si="1"/>
        <v>0.89999999999999858</v>
      </c>
      <c r="R13" s="7" t="s">
        <v>0</v>
      </c>
    </row>
    <row r="14" spans="1:18" x14ac:dyDescent="0.3">
      <c r="A14" s="2">
        <v>2</v>
      </c>
      <c r="B14" s="2" t="s">
        <v>47</v>
      </c>
      <c r="C14" s="2" t="s">
        <v>48</v>
      </c>
      <c r="D14" s="2" t="s">
        <v>22</v>
      </c>
      <c r="E14" s="2" t="s">
        <v>52</v>
      </c>
      <c r="F14" s="2" t="s">
        <v>53</v>
      </c>
      <c r="G14" s="3">
        <v>50</v>
      </c>
      <c r="H14" s="3">
        <v>11.4</v>
      </c>
      <c r="I14" s="3">
        <v>79</v>
      </c>
      <c r="J14" s="3">
        <v>0</v>
      </c>
      <c r="K14" s="3">
        <v>1.7</v>
      </c>
      <c r="L14" s="3">
        <v>10.7</v>
      </c>
      <c r="M14" s="2" t="s">
        <v>37</v>
      </c>
      <c r="N14" s="2" t="str">
        <f t="shared" si="0"/>
        <v>Type mean, n of 30 or more</v>
      </c>
      <c r="O14" s="4">
        <f>H14/G14</f>
        <v>0.22800000000000001</v>
      </c>
      <c r="P14" s="3">
        <v>11.7</v>
      </c>
      <c r="Q14" s="5">
        <f t="shared" si="1"/>
        <v>-0.29999999999999893</v>
      </c>
      <c r="R14" s="7" t="s">
        <v>0</v>
      </c>
    </row>
    <row r="15" spans="1:18" x14ac:dyDescent="0.3">
      <c r="A15" s="2">
        <v>2</v>
      </c>
      <c r="B15" s="2" t="s">
        <v>47</v>
      </c>
      <c r="C15" s="2" t="s">
        <v>48</v>
      </c>
      <c r="D15" s="2" t="s">
        <v>22</v>
      </c>
      <c r="E15" s="2" t="s">
        <v>54</v>
      </c>
      <c r="F15" s="2" t="s">
        <v>55</v>
      </c>
      <c r="G15" s="3">
        <v>40</v>
      </c>
      <c r="H15" s="3">
        <v>8.6999999999999993</v>
      </c>
      <c r="I15" s="3">
        <v>100</v>
      </c>
      <c r="J15" s="3">
        <v>3</v>
      </c>
      <c r="K15" s="3">
        <v>0.92</v>
      </c>
      <c r="L15" s="3">
        <v>8.67</v>
      </c>
      <c r="M15" s="2" t="s">
        <v>37</v>
      </c>
      <c r="N15" s="2" t="str">
        <f t="shared" si="0"/>
        <v>Type mean, n of 30 or more</v>
      </c>
      <c r="O15" s="4">
        <f>H15/G15</f>
        <v>0.21749999999999997</v>
      </c>
      <c r="P15" s="3">
        <v>8</v>
      </c>
      <c r="Q15" s="5">
        <f t="shared" si="1"/>
        <v>0.69999999999999929</v>
      </c>
      <c r="R15" s="7" t="s">
        <v>0</v>
      </c>
    </row>
    <row r="16" spans="1:18" x14ac:dyDescent="0.3">
      <c r="A16" s="2">
        <v>2</v>
      </c>
      <c r="B16" s="2" t="s">
        <v>47</v>
      </c>
      <c r="C16" s="2" t="s">
        <v>48</v>
      </c>
      <c r="D16" s="2" t="s">
        <v>22</v>
      </c>
      <c r="E16" s="2" t="s">
        <v>56</v>
      </c>
      <c r="F16" s="2" t="s">
        <v>41</v>
      </c>
      <c r="G16" s="3">
        <v>20</v>
      </c>
      <c r="H16" s="3">
        <v>4.25</v>
      </c>
      <c r="I16" s="3">
        <v>84</v>
      </c>
      <c r="J16" s="3">
        <v>0</v>
      </c>
      <c r="K16" s="3">
        <v>0.43</v>
      </c>
      <c r="L16" s="3">
        <v>4.41</v>
      </c>
      <c r="M16" s="2" t="s">
        <v>32</v>
      </c>
      <c r="N16" s="2" t="str">
        <f t="shared" si="0"/>
        <v>Type mean, n of 30 or more</v>
      </c>
      <c r="O16" s="4">
        <f>H16/G16</f>
        <v>0.21249999999999999</v>
      </c>
      <c r="P16" s="3">
        <v>4.3</v>
      </c>
      <c r="Q16" s="5">
        <f t="shared" si="1"/>
        <v>-4.9999999999999822E-2</v>
      </c>
      <c r="R16" s="7" t="s">
        <v>0</v>
      </c>
    </row>
    <row r="17" spans="1:18" x14ac:dyDescent="0.3">
      <c r="A17" s="2">
        <v>3</v>
      </c>
      <c r="B17" s="2" t="s">
        <v>57</v>
      </c>
      <c r="C17" s="2" t="s">
        <v>48</v>
      </c>
      <c r="D17" s="2" t="s">
        <v>22</v>
      </c>
      <c r="E17" s="2" t="s">
        <v>58</v>
      </c>
      <c r="F17" s="2" t="s">
        <v>59</v>
      </c>
      <c r="G17" s="3">
        <v>100</v>
      </c>
      <c r="H17" s="3">
        <v>20.7</v>
      </c>
      <c r="I17" s="3">
        <v>12</v>
      </c>
      <c r="J17" s="3">
        <v>1</v>
      </c>
      <c r="K17" s="3">
        <v>2.06</v>
      </c>
      <c r="L17" s="3">
        <v>21.5</v>
      </c>
      <c r="M17" s="2" t="s">
        <v>60</v>
      </c>
      <c r="N17" s="2" t="str">
        <f t="shared" si="0"/>
        <v>Type mean, n of 10 to 29</v>
      </c>
      <c r="O17" s="4">
        <f>H17/G17</f>
        <v>0.20699999999999999</v>
      </c>
      <c r="P17" s="3">
        <v>20</v>
      </c>
      <c r="Q17" s="5">
        <f t="shared" si="1"/>
        <v>0.69999999999999929</v>
      </c>
      <c r="R17" s="7" t="s">
        <v>0</v>
      </c>
    </row>
    <row r="18" spans="1:18" x14ac:dyDescent="0.3">
      <c r="A18" s="2">
        <v>3</v>
      </c>
      <c r="B18" s="2" t="s">
        <v>57</v>
      </c>
      <c r="C18" s="2" t="s">
        <v>48</v>
      </c>
      <c r="D18" s="2" t="s">
        <v>22</v>
      </c>
      <c r="E18" s="2" t="s">
        <v>61</v>
      </c>
      <c r="F18" s="2" t="s">
        <v>59</v>
      </c>
      <c r="G18" s="3">
        <v>100</v>
      </c>
      <c r="H18" s="3">
        <v>21.6</v>
      </c>
      <c r="I18" s="3">
        <v>35</v>
      </c>
      <c r="J18" s="3">
        <v>1</v>
      </c>
      <c r="K18" s="3">
        <v>2.19</v>
      </c>
      <c r="L18" s="3">
        <v>22.1</v>
      </c>
      <c r="M18" s="2" t="s">
        <v>60</v>
      </c>
      <c r="N18" s="2" t="str">
        <f t="shared" si="0"/>
        <v>Type mean, n of 30 or more</v>
      </c>
      <c r="O18" s="4">
        <f>H18/G18</f>
        <v>0.21600000000000003</v>
      </c>
      <c r="P18" s="3">
        <v>21.5</v>
      </c>
      <c r="Q18" s="5">
        <f t="shared" si="1"/>
        <v>0.10000000000000142</v>
      </c>
      <c r="R18" s="7" t="s">
        <v>0</v>
      </c>
    </row>
    <row r="19" spans="1:18" x14ac:dyDescent="0.3">
      <c r="A19" s="2">
        <v>3</v>
      </c>
      <c r="B19" s="2" t="s">
        <v>57</v>
      </c>
      <c r="C19" s="2" t="s">
        <v>48</v>
      </c>
      <c r="D19" s="2" t="s">
        <v>22</v>
      </c>
      <c r="E19" s="2" t="s">
        <v>62</v>
      </c>
      <c r="F19" s="2" t="s">
        <v>63</v>
      </c>
      <c r="G19" s="3">
        <v>50</v>
      </c>
      <c r="H19" s="3">
        <v>10.7</v>
      </c>
      <c r="I19" s="3">
        <v>78</v>
      </c>
      <c r="J19" s="3">
        <v>1</v>
      </c>
      <c r="K19" s="3">
        <v>1.18</v>
      </c>
      <c r="L19" s="3">
        <v>10.199999999999999</v>
      </c>
      <c r="M19" s="2" t="s">
        <v>60</v>
      </c>
      <c r="N19" s="2" t="str">
        <f t="shared" si="0"/>
        <v>Type mean, n of 30 or more</v>
      </c>
      <c r="O19" s="4">
        <f>H19/G19</f>
        <v>0.214</v>
      </c>
      <c r="P19" s="3">
        <v>10.6</v>
      </c>
      <c r="Q19" s="5">
        <f t="shared" si="1"/>
        <v>9.9999999999999645E-2</v>
      </c>
      <c r="R19" s="7" t="s">
        <v>0</v>
      </c>
    </row>
    <row r="20" spans="1:18" x14ac:dyDescent="0.3">
      <c r="A20" s="2">
        <v>3</v>
      </c>
      <c r="B20" s="2" t="s">
        <v>57</v>
      </c>
      <c r="C20" s="2" t="s">
        <v>48</v>
      </c>
      <c r="D20" s="2" t="s">
        <v>22</v>
      </c>
      <c r="E20" s="2" t="s">
        <v>64</v>
      </c>
      <c r="F20" s="2" t="s">
        <v>59</v>
      </c>
      <c r="G20" s="3">
        <v>30</v>
      </c>
      <c r="H20" s="3">
        <v>7.13</v>
      </c>
      <c r="I20" s="3">
        <v>12</v>
      </c>
      <c r="J20" s="3">
        <v>0</v>
      </c>
      <c r="K20" s="3">
        <v>0.49</v>
      </c>
      <c r="L20" s="3">
        <v>6.93</v>
      </c>
      <c r="M20" s="2" t="s">
        <v>60</v>
      </c>
      <c r="N20" s="2" t="str">
        <f t="shared" si="0"/>
        <v>Type mean, n of 10 to 29</v>
      </c>
      <c r="O20" s="4">
        <f>H20/G20</f>
        <v>0.23766666666666666</v>
      </c>
      <c r="P20" s="3">
        <v>7.1</v>
      </c>
      <c r="Q20" s="5">
        <f t="shared" si="1"/>
        <v>3.0000000000000249E-2</v>
      </c>
      <c r="R20" s="7" t="s">
        <v>0</v>
      </c>
    </row>
    <row r="21" spans="1:18" x14ac:dyDescent="0.3">
      <c r="A21" s="2">
        <v>3</v>
      </c>
      <c r="B21" s="2" t="s">
        <v>57</v>
      </c>
      <c r="C21" s="2" t="s">
        <v>48</v>
      </c>
      <c r="D21" s="2" t="s">
        <v>22</v>
      </c>
      <c r="E21" s="2" t="s">
        <v>65</v>
      </c>
      <c r="F21" s="2" t="s">
        <v>66</v>
      </c>
      <c r="G21" s="3">
        <v>20</v>
      </c>
      <c r="H21" s="3">
        <v>4.92</v>
      </c>
      <c r="I21" s="3">
        <v>13</v>
      </c>
      <c r="J21" s="3">
        <v>1</v>
      </c>
      <c r="K21" s="3">
        <v>0.87</v>
      </c>
      <c r="L21" s="3">
        <v>5.27</v>
      </c>
      <c r="M21" s="2" t="s">
        <v>60</v>
      </c>
      <c r="N21" s="2" t="str">
        <f t="shared" si="0"/>
        <v>Type mean, n of 10 to 29</v>
      </c>
      <c r="O21" s="4">
        <f>H21/G21</f>
        <v>0.246</v>
      </c>
      <c r="P21" s="3">
        <v>4.8</v>
      </c>
      <c r="Q21" s="5">
        <f t="shared" si="1"/>
        <v>0.12000000000000011</v>
      </c>
      <c r="R21" s="7" t="s">
        <v>0</v>
      </c>
    </row>
    <row r="22" spans="1:18" x14ac:dyDescent="0.3">
      <c r="A22" s="2">
        <v>3</v>
      </c>
      <c r="B22" s="2" t="s">
        <v>57</v>
      </c>
      <c r="C22" s="2" t="s">
        <v>48</v>
      </c>
      <c r="D22" s="2" t="s">
        <v>22</v>
      </c>
      <c r="E22" s="2" t="s">
        <v>67</v>
      </c>
      <c r="F22" s="2" t="s">
        <v>46</v>
      </c>
      <c r="G22" s="3">
        <v>15</v>
      </c>
      <c r="H22" s="3">
        <v>2.97</v>
      </c>
      <c r="I22" s="3">
        <v>11</v>
      </c>
      <c r="J22" s="3">
        <v>0</v>
      </c>
      <c r="K22" s="3">
        <v>0.54</v>
      </c>
      <c r="L22" s="3">
        <v>2.98</v>
      </c>
      <c r="M22" s="2" t="s">
        <v>60</v>
      </c>
      <c r="N22" s="2" t="str">
        <f t="shared" si="0"/>
        <v>Type mean, n of 10 to 29</v>
      </c>
      <c r="O22" s="4">
        <f>H22/G22</f>
        <v>0.19800000000000001</v>
      </c>
      <c r="P22" s="3">
        <v>2.9</v>
      </c>
      <c r="Q22" s="5">
        <f t="shared" si="1"/>
        <v>7.0000000000000284E-2</v>
      </c>
      <c r="R22" s="7" t="s">
        <v>0</v>
      </c>
    </row>
    <row r="23" spans="1:18" x14ac:dyDescent="0.3">
      <c r="A23" s="2">
        <v>4</v>
      </c>
      <c r="B23" s="2" t="s">
        <v>68</v>
      </c>
      <c r="C23" s="2" t="s">
        <v>48</v>
      </c>
      <c r="D23" s="2" t="s">
        <v>22</v>
      </c>
      <c r="E23" s="2" t="s">
        <v>9</v>
      </c>
      <c r="F23" s="2" t="s">
        <v>49</v>
      </c>
      <c r="G23" s="3">
        <v>120</v>
      </c>
      <c r="H23" s="3">
        <v>22.5</v>
      </c>
      <c r="I23" s="3">
        <v>907</v>
      </c>
      <c r="J23" s="3">
        <v>93</v>
      </c>
      <c r="K23" s="3">
        <v>1.9</v>
      </c>
      <c r="L23" s="3">
        <v>22.6</v>
      </c>
      <c r="M23" s="2" t="s">
        <v>25</v>
      </c>
      <c r="N23" s="2" t="str">
        <f t="shared" si="0"/>
        <v>Type mean, n of 30 or more</v>
      </c>
      <c r="O23" s="4">
        <f>H23/G23</f>
        <v>0.1875</v>
      </c>
      <c r="P23" s="3">
        <v>21.9</v>
      </c>
      <c r="Q23" s="5">
        <f t="shared" si="1"/>
        <v>0.60000000000000142</v>
      </c>
      <c r="R23" s="7" t="s">
        <v>0</v>
      </c>
    </row>
    <row r="24" spans="1:18" x14ac:dyDescent="0.3">
      <c r="A24" s="2">
        <v>4</v>
      </c>
      <c r="B24" s="2" t="s">
        <v>68</v>
      </c>
      <c r="C24" s="2" t="s">
        <v>48</v>
      </c>
      <c r="D24" s="2" t="s">
        <v>22</v>
      </c>
      <c r="E24" s="2" t="s">
        <v>69</v>
      </c>
      <c r="F24" s="2" t="s">
        <v>70</v>
      </c>
      <c r="G24" s="3">
        <v>80</v>
      </c>
      <c r="H24" s="3">
        <v>15.6</v>
      </c>
      <c r="I24" s="3">
        <v>70</v>
      </c>
      <c r="J24" s="3">
        <v>0</v>
      </c>
      <c r="K24" s="3">
        <v>1.3</v>
      </c>
      <c r="L24" s="3">
        <v>16</v>
      </c>
      <c r="M24" s="2" t="s">
        <v>32</v>
      </c>
      <c r="N24" s="2" t="str">
        <f t="shared" si="0"/>
        <v>Type mean, n of 30 or more</v>
      </c>
      <c r="O24" s="4">
        <f>H24/G24</f>
        <v>0.19500000000000001</v>
      </c>
      <c r="P24" s="3">
        <v>15.2</v>
      </c>
      <c r="Q24" s="5">
        <f t="shared" si="1"/>
        <v>0.40000000000000036</v>
      </c>
      <c r="R24" s="7" t="s">
        <v>0</v>
      </c>
    </row>
    <row r="25" spans="1:18" x14ac:dyDescent="0.3">
      <c r="A25" s="2">
        <v>4</v>
      </c>
      <c r="B25" s="2" t="s">
        <v>68</v>
      </c>
      <c r="C25" s="2" t="s">
        <v>48</v>
      </c>
      <c r="D25" s="2" t="s">
        <v>22</v>
      </c>
      <c r="E25" s="2" t="s">
        <v>71</v>
      </c>
      <c r="F25" s="2" t="s">
        <v>72</v>
      </c>
      <c r="G25" s="3">
        <v>40</v>
      </c>
      <c r="H25" s="3">
        <v>7.78</v>
      </c>
      <c r="I25" s="3">
        <v>761</v>
      </c>
      <c r="J25" s="3">
        <v>12</v>
      </c>
      <c r="K25" s="3">
        <v>1.02</v>
      </c>
      <c r="L25" s="3">
        <v>7.78</v>
      </c>
      <c r="M25" s="2" t="s">
        <v>25</v>
      </c>
      <c r="N25" s="2" t="str">
        <f t="shared" si="0"/>
        <v>Type mean, n of 30 or more</v>
      </c>
      <c r="O25" s="4">
        <f>H25/G25</f>
        <v>0.19450000000000001</v>
      </c>
      <c r="P25" s="3">
        <v>7.75</v>
      </c>
      <c r="Q25" s="5">
        <f t="shared" si="1"/>
        <v>3.0000000000000249E-2</v>
      </c>
      <c r="R25" s="7" t="s">
        <v>0</v>
      </c>
    </row>
    <row r="26" spans="1:18" x14ac:dyDescent="0.3">
      <c r="A26" s="2">
        <v>5</v>
      </c>
      <c r="B26" s="2" t="s">
        <v>73</v>
      </c>
      <c r="C26" s="2" t="s">
        <v>74</v>
      </c>
      <c r="D26" s="2" t="s">
        <v>42</v>
      </c>
      <c r="E26" s="2" t="s">
        <v>75</v>
      </c>
      <c r="F26" s="2" t="s">
        <v>59</v>
      </c>
      <c r="G26" s="3">
        <v>120</v>
      </c>
      <c r="H26" s="3">
        <v>23.4</v>
      </c>
      <c r="I26" s="3">
        <v>74</v>
      </c>
      <c r="J26" s="3">
        <v>1</v>
      </c>
      <c r="K26" s="3">
        <v>1.44</v>
      </c>
      <c r="L26" s="3">
        <v>23.8</v>
      </c>
      <c r="M26" s="2" t="s">
        <v>60</v>
      </c>
      <c r="N26" s="2" t="str">
        <f t="shared" si="0"/>
        <v>Type mean, n of 30 or more</v>
      </c>
      <c r="O26" s="4">
        <f>H26/G26</f>
        <v>0.19499999999999998</v>
      </c>
      <c r="P26" s="3">
        <v>23.5</v>
      </c>
      <c r="Q26" s="5">
        <f t="shared" si="1"/>
        <v>-0.10000000000000142</v>
      </c>
      <c r="R26" s="7" t="s">
        <v>0</v>
      </c>
    </row>
    <row r="27" spans="1:18" x14ac:dyDescent="0.3">
      <c r="A27" s="2">
        <v>5</v>
      </c>
      <c r="B27" s="2" t="s">
        <v>73</v>
      </c>
      <c r="C27" s="2" t="s">
        <v>74</v>
      </c>
      <c r="D27" s="2" t="s">
        <v>42</v>
      </c>
      <c r="E27" s="2" t="s">
        <v>76</v>
      </c>
      <c r="F27" s="2" t="s">
        <v>77</v>
      </c>
      <c r="G27" s="3">
        <v>40</v>
      </c>
      <c r="H27" s="3">
        <v>7.12</v>
      </c>
      <c r="I27" s="3">
        <v>52</v>
      </c>
      <c r="J27" s="3">
        <v>0</v>
      </c>
      <c r="K27" s="3">
        <v>0.76</v>
      </c>
      <c r="L27" s="3">
        <v>6.91</v>
      </c>
      <c r="M27" s="2" t="s">
        <v>60</v>
      </c>
      <c r="N27" s="2" t="str">
        <f t="shared" si="0"/>
        <v>Type mean, n of 30 or more</v>
      </c>
      <c r="O27" s="4">
        <f>H27/G27</f>
        <v>0.17799999999999999</v>
      </c>
      <c r="P27" s="3">
        <v>7.1</v>
      </c>
      <c r="Q27" s="5">
        <f t="shared" si="1"/>
        <v>2.0000000000000462E-2</v>
      </c>
      <c r="R27" s="7" t="s">
        <v>0</v>
      </c>
    </row>
    <row r="28" spans="1:18" x14ac:dyDescent="0.3">
      <c r="A28" s="2">
        <v>5</v>
      </c>
      <c r="B28" s="2" t="s">
        <v>73</v>
      </c>
      <c r="C28" s="2" t="s">
        <v>74</v>
      </c>
      <c r="D28" s="2" t="s">
        <v>42</v>
      </c>
      <c r="E28" s="2" t="s">
        <v>78</v>
      </c>
      <c r="F28" s="2" t="s">
        <v>79</v>
      </c>
      <c r="G28" s="3">
        <v>20</v>
      </c>
      <c r="H28" s="3">
        <v>3.77</v>
      </c>
      <c r="I28" s="3">
        <v>27</v>
      </c>
      <c r="J28" s="3">
        <v>1</v>
      </c>
      <c r="K28" s="3">
        <v>0.47</v>
      </c>
      <c r="L28" s="3">
        <v>3.67</v>
      </c>
      <c r="M28" s="2" t="s">
        <v>60</v>
      </c>
      <c r="N28" s="2" t="str">
        <f t="shared" si="0"/>
        <v>Type mean, n of 10 to 29</v>
      </c>
      <c r="O28" s="4">
        <f>H28/G28</f>
        <v>0.1885</v>
      </c>
      <c r="P28" s="3">
        <v>3.7</v>
      </c>
      <c r="Q28" s="5">
        <f t="shared" si="1"/>
        <v>6.999999999999984E-2</v>
      </c>
      <c r="R28" s="7" t="s">
        <v>0</v>
      </c>
    </row>
    <row r="29" spans="1:18" x14ac:dyDescent="0.3">
      <c r="A29" s="2">
        <v>6</v>
      </c>
      <c r="B29" s="2" t="s">
        <v>80</v>
      </c>
      <c r="C29" s="2" t="s">
        <v>81</v>
      </c>
      <c r="D29" s="2" t="s">
        <v>22</v>
      </c>
      <c r="E29" s="2" t="s">
        <v>82</v>
      </c>
      <c r="F29" s="2" t="s">
        <v>59</v>
      </c>
      <c r="G29" s="3">
        <v>120</v>
      </c>
      <c r="H29" s="3">
        <v>22.6</v>
      </c>
      <c r="I29" s="3">
        <v>34</v>
      </c>
      <c r="J29" s="3">
        <v>1</v>
      </c>
      <c r="K29" s="3">
        <v>1.65</v>
      </c>
      <c r="L29" s="3">
        <v>21.8</v>
      </c>
      <c r="M29" s="2" t="s">
        <v>60</v>
      </c>
      <c r="N29" s="2" t="str">
        <f t="shared" si="0"/>
        <v>Type mean, n of 30 or more</v>
      </c>
      <c r="O29" s="4">
        <f>H29/G29</f>
        <v>0.18833333333333335</v>
      </c>
      <c r="P29" s="3">
        <v>22.6</v>
      </c>
      <c r="Q29" s="5">
        <f t="shared" si="1"/>
        <v>0</v>
      </c>
      <c r="R29" s="7" t="s">
        <v>0</v>
      </c>
    </row>
    <row r="30" spans="1:18" x14ac:dyDescent="0.3">
      <c r="A30" s="2">
        <v>6</v>
      </c>
      <c r="B30" s="2" t="s">
        <v>80</v>
      </c>
      <c r="C30" s="2" t="s">
        <v>81</v>
      </c>
      <c r="D30" s="2" t="s">
        <v>22</v>
      </c>
      <c r="E30" s="2" t="s">
        <v>83</v>
      </c>
      <c r="F30" s="2" t="s">
        <v>79</v>
      </c>
      <c r="G30" s="3">
        <v>80</v>
      </c>
      <c r="H30" s="3">
        <v>15.4</v>
      </c>
      <c r="I30" s="3">
        <v>547</v>
      </c>
      <c r="J30" s="3">
        <v>9</v>
      </c>
      <c r="K30" s="3">
        <v>1.26</v>
      </c>
      <c r="L30" s="3">
        <v>14.9</v>
      </c>
      <c r="M30" s="2" t="s">
        <v>60</v>
      </c>
      <c r="N30" s="2" t="str">
        <f t="shared" si="0"/>
        <v>Type mean, n of 30 or more</v>
      </c>
      <c r="O30" s="4">
        <f>H30/G30</f>
        <v>0.1925</v>
      </c>
      <c r="P30" s="3">
        <v>15.2</v>
      </c>
      <c r="Q30" s="5">
        <f t="shared" si="1"/>
        <v>0.20000000000000107</v>
      </c>
      <c r="R30" s="7" t="s">
        <v>0</v>
      </c>
    </row>
    <row r="31" spans="1:18" x14ac:dyDescent="0.3">
      <c r="A31" s="2">
        <v>6</v>
      </c>
      <c r="B31" s="2" t="s">
        <v>80</v>
      </c>
      <c r="C31" s="2" t="s">
        <v>81</v>
      </c>
      <c r="D31" s="2" t="s">
        <v>22</v>
      </c>
      <c r="E31" s="2" t="s">
        <v>84</v>
      </c>
      <c r="F31" s="2" t="s">
        <v>63</v>
      </c>
      <c r="G31" s="3">
        <v>50</v>
      </c>
      <c r="H31" s="3">
        <v>9.17</v>
      </c>
      <c r="I31" s="3">
        <v>62</v>
      </c>
      <c r="J31" s="3">
        <v>0</v>
      </c>
      <c r="K31" s="3">
        <v>0.86</v>
      </c>
      <c r="L31" s="3">
        <v>9.77</v>
      </c>
      <c r="M31" s="2" t="s">
        <v>60</v>
      </c>
      <c r="N31" s="2" t="str">
        <f t="shared" si="0"/>
        <v>Type mean, n of 30 or more</v>
      </c>
      <c r="O31" s="4">
        <f>H31/G31</f>
        <v>0.18340000000000001</v>
      </c>
      <c r="P31" s="3">
        <v>9.3000000000000007</v>
      </c>
      <c r="Q31" s="5">
        <f t="shared" si="1"/>
        <v>-0.13000000000000078</v>
      </c>
      <c r="R31" s="7" t="s">
        <v>0</v>
      </c>
    </row>
    <row r="32" spans="1:18" x14ac:dyDescent="0.3">
      <c r="A32" s="2">
        <v>6</v>
      </c>
      <c r="B32" s="2" t="s">
        <v>80</v>
      </c>
      <c r="C32" s="2" t="s">
        <v>81</v>
      </c>
      <c r="D32" s="2" t="s">
        <v>22</v>
      </c>
      <c r="E32" s="2" t="s">
        <v>85</v>
      </c>
      <c r="F32" s="2" t="s">
        <v>77</v>
      </c>
      <c r="G32" s="3">
        <v>40</v>
      </c>
      <c r="H32" s="3">
        <v>7.44</v>
      </c>
      <c r="I32" s="3">
        <v>18</v>
      </c>
      <c r="J32" s="3">
        <v>0</v>
      </c>
      <c r="K32" s="3">
        <v>0.89</v>
      </c>
      <c r="L32" s="3">
        <v>7.04</v>
      </c>
      <c r="M32" s="2" t="s">
        <v>60</v>
      </c>
      <c r="N32" s="2" t="str">
        <f t="shared" si="0"/>
        <v>Type mean, n of 10 to 29</v>
      </c>
      <c r="O32" s="4">
        <f>H32/G32</f>
        <v>0.186</v>
      </c>
      <c r="P32" s="3">
        <v>7.5</v>
      </c>
      <c r="Q32" s="5">
        <f t="shared" si="1"/>
        <v>-5.9999999999999609E-2</v>
      </c>
      <c r="R32" s="7" t="s">
        <v>0</v>
      </c>
    </row>
    <row r="33" spans="1:18" x14ac:dyDescent="0.3">
      <c r="A33" s="2">
        <v>7</v>
      </c>
      <c r="B33" s="2" t="s">
        <v>86</v>
      </c>
      <c r="C33" s="2" t="s">
        <v>87</v>
      </c>
      <c r="D33" s="2" t="s">
        <v>42</v>
      </c>
      <c r="E33" s="2" t="s">
        <v>88</v>
      </c>
      <c r="F33" s="2" t="s">
        <v>89</v>
      </c>
      <c r="G33" s="3">
        <v>80</v>
      </c>
      <c r="H33" s="3">
        <v>16.5</v>
      </c>
      <c r="I33" s="3">
        <v>102</v>
      </c>
      <c r="J33" s="3">
        <v>6</v>
      </c>
      <c r="K33" s="3">
        <v>1.29</v>
      </c>
      <c r="L33" s="3">
        <v>16.399999999999999</v>
      </c>
      <c r="M33" s="2" t="s">
        <v>60</v>
      </c>
      <c r="N33" s="2" t="str">
        <f t="shared" si="0"/>
        <v>Type mean, n of 30 or more</v>
      </c>
      <c r="O33" s="4">
        <f>H33/G33</f>
        <v>0.20624999999999999</v>
      </c>
      <c r="P33" s="3"/>
      <c r="Q33" s="5" t="str">
        <f t="shared" si="1"/>
        <v/>
      </c>
      <c r="R33" s="7" t="s">
        <v>0</v>
      </c>
    </row>
    <row r="34" spans="1:18" x14ac:dyDescent="0.3">
      <c r="A34" s="2">
        <v>7</v>
      </c>
      <c r="B34" s="2" t="s">
        <v>86</v>
      </c>
      <c r="C34" s="2" t="s">
        <v>87</v>
      </c>
      <c r="D34" s="2" t="s">
        <v>42</v>
      </c>
      <c r="E34" s="2" t="s">
        <v>90</v>
      </c>
      <c r="F34" s="2" t="s">
        <v>91</v>
      </c>
      <c r="G34" s="3">
        <v>80</v>
      </c>
      <c r="H34" s="3">
        <v>16.5</v>
      </c>
      <c r="I34" s="3">
        <v>37</v>
      </c>
      <c r="J34" s="3">
        <v>0</v>
      </c>
      <c r="K34" s="3">
        <v>1.49</v>
      </c>
      <c r="L34" s="3">
        <v>15.7</v>
      </c>
      <c r="M34" s="2" t="s">
        <v>60</v>
      </c>
      <c r="N34" s="2" t="str">
        <f t="shared" si="0"/>
        <v>Type mean, n of 30 or more</v>
      </c>
      <c r="O34" s="4">
        <f>H34/G34</f>
        <v>0.20624999999999999</v>
      </c>
      <c r="P34" s="3"/>
      <c r="Q34" s="5" t="str">
        <f t="shared" si="1"/>
        <v/>
      </c>
      <c r="R34" s="7" t="s">
        <v>0</v>
      </c>
    </row>
    <row r="35" spans="1:18" x14ac:dyDescent="0.3">
      <c r="A35" s="2">
        <v>7</v>
      </c>
      <c r="B35" s="2" t="s">
        <v>86</v>
      </c>
      <c r="C35" s="2" t="s">
        <v>87</v>
      </c>
      <c r="D35" s="2" t="s">
        <v>42</v>
      </c>
      <c r="E35" s="2" t="s">
        <v>92</v>
      </c>
      <c r="F35" s="2" t="s">
        <v>93</v>
      </c>
      <c r="G35" s="3">
        <v>40</v>
      </c>
      <c r="H35" s="3">
        <v>8.18</v>
      </c>
      <c r="I35" s="3">
        <v>154</v>
      </c>
      <c r="J35" s="3">
        <v>2</v>
      </c>
      <c r="K35" s="3">
        <v>0.95</v>
      </c>
      <c r="L35" s="3">
        <v>8.07</v>
      </c>
      <c r="M35" s="2" t="s">
        <v>60</v>
      </c>
      <c r="N35" s="2" t="str">
        <f t="shared" si="0"/>
        <v>Type mean, n of 30 or more</v>
      </c>
      <c r="O35" s="4">
        <f>H35/G35</f>
        <v>0.20449999999999999</v>
      </c>
      <c r="P35" s="3">
        <v>9.1999999999999993</v>
      </c>
      <c r="Q35" s="5">
        <f t="shared" si="1"/>
        <v>-1.0199999999999996</v>
      </c>
      <c r="R35" s="7" t="s">
        <v>0</v>
      </c>
    </row>
    <row r="36" spans="1:18" x14ac:dyDescent="0.3">
      <c r="A36" s="2">
        <v>7</v>
      </c>
      <c r="B36" s="2" t="s">
        <v>86</v>
      </c>
      <c r="C36" s="2" t="s">
        <v>87</v>
      </c>
      <c r="D36" s="2" t="s">
        <v>42</v>
      </c>
      <c r="E36" s="2" t="s">
        <v>94</v>
      </c>
      <c r="F36" s="2" t="s">
        <v>95</v>
      </c>
      <c r="G36" s="3">
        <v>25</v>
      </c>
      <c r="H36" s="3">
        <v>5.51</v>
      </c>
      <c r="I36" s="3">
        <v>9</v>
      </c>
      <c r="J36" s="3"/>
      <c r="K36" s="3">
        <v>0.98</v>
      </c>
      <c r="L36" s="3">
        <v>5.32</v>
      </c>
      <c r="M36" s="2" t="s">
        <v>60</v>
      </c>
      <c r="N36" s="2" t="str">
        <f t="shared" si="0"/>
        <v>Type mean, fewer than 10 specimens</v>
      </c>
      <c r="O36" s="4">
        <f>H36/G36</f>
        <v>0.22039999999999998</v>
      </c>
      <c r="P36" s="3">
        <v>5.51</v>
      </c>
      <c r="Q36" s="5">
        <f t="shared" si="1"/>
        <v>0</v>
      </c>
      <c r="R36" s="7" t="s">
        <v>0</v>
      </c>
    </row>
    <row r="37" spans="1:18" x14ac:dyDescent="0.3">
      <c r="A37" s="2">
        <v>8</v>
      </c>
      <c r="B37" s="2" t="s">
        <v>96</v>
      </c>
      <c r="C37" s="2" t="s">
        <v>97</v>
      </c>
      <c r="D37" s="2" t="s">
        <v>22</v>
      </c>
      <c r="E37" s="2" t="s">
        <v>98</v>
      </c>
      <c r="F37" s="2" t="s">
        <v>99</v>
      </c>
      <c r="G37" s="3">
        <v>5</v>
      </c>
      <c r="H37" s="3">
        <v>1.1299999999999999</v>
      </c>
      <c r="I37" s="3">
        <v>17</v>
      </c>
      <c r="J37" s="3">
        <v>0</v>
      </c>
      <c r="K37" s="3">
        <v>0.22</v>
      </c>
      <c r="L37" s="3">
        <v>1.1599999999999999</v>
      </c>
      <c r="M37" s="2" t="s">
        <v>60</v>
      </c>
      <c r="N37" s="2" t="str">
        <f t="shared" si="0"/>
        <v>Type mean, n of 10 to 29</v>
      </c>
      <c r="O37" s="4">
        <f>H37/G37</f>
        <v>0.22599999999999998</v>
      </c>
      <c r="P37" s="3">
        <v>1.1000000000000001</v>
      </c>
      <c r="Q37" s="5">
        <f t="shared" si="1"/>
        <v>2.9999999999999805E-2</v>
      </c>
      <c r="R37" s="7" t="s">
        <v>0</v>
      </c>
    </row>
    <row r="38" spans="1:18" x14ac:dyDescent="0.3">
      <c r="A38" s="2">
        <v>8</v>
      </c>
      <c r="B38" s="2" t="s">
        <v>96</v>
      </c>
      <c r="C38" s="2" t="s">
        <v>97</v>
      </c>
      <c r="D38" s="2" t="s">
        <v>22</v>
      </c>
      <c r="E38" s="2" t="s">
        <v>100</v>
      </c>
      <c r="F38" s="2" t="s">
        <v>101</v>
      </c>
      <c r="G38" s="3">
        <v>5</v>
      </c>
      <c r="H38" s="3">
        <v>1.25</v>
      </c>
      <c r="I38" s="3">
        <v>35</v>
      </c>
      <c r="J38" s="3">
        <v>0</v>
      </c>
      <c r="K38" s="3">
        <v>0.16</v>
      </c>
      <c r="L38" s="3">
        <v>1.21</v>
      </c>
      <c r="M38" s="2" t="s">
        <v>60</v>
      </c>
      <c r="N38" s="2" t="str">
        <f t="shared" si="0"/>
        <v>Type mean, n of 30 or more</v>
      </c>
      <c r="O38" s="4">
        <f>H38/G38</f>
        <v>0.25</v>
      </c>
      <c r="P38" s="3">
        <v>1.1000000000000001</v>
      </c>
      <c r="Q38" s="5">
        <f t="shared" si="1"/>
        <v>0.14999999999999991</v>
      </c>
      <c r="R38" s="7" t="s">
        <v>0</v>
      </c>
    </row>
    <row r="39" spans="1:18" x14ac:dyDescent="0.3">
      <c r="A39" s="2">
        <v>9</v>
      </c>
      <c r="B39" s="2" t="s">
        <v>102</v>
      </c>
      <c r="C39" s="2" t="s">
        <v>103</v>
      </c>
      <c r="D39" s="2" t="s">
        <v>42</v>
      </c>
      <c r="E39" s="2" t="s">
        <v>104</v>
      </c>
      <c r="F39" s="2" t="s">
        <v>105</v>
      </c>
      <c r="G39" s="3">
        <v>80</v>
      </c>
      <c r="H39" s="3">
        <v>17.2</v>
      </c>
      <c r="I39" s="3">
        <v>131</v>
      </c>
      <c r="J39" s="3">
        <v>2</v>
      </c>
      <c r="K39" s="3">
        <v>1.83</v>
      </c>
      <c r="L39" s="3">
        <v>16.600000000000001</v>
      </c>
      <c r="M39" s="2" t="s">
        <v>60</v>
      </c>
      <c r="N39" s="2" t="str">
        <f t="shared" si="0"/>
        <v>Type mean, n of 30 or more</v>
      </c>
      <c r="O39" s="4">
        <f>H39/G39</f>
        <v>0.215</v>
      </c>
      <c r="P39" s="3">
        <v>17.2</v>
      </c>
      <c r="Q39" s="5">
        <f t="shared" si="1"/>
        <v>0</v>
      </c>
      <c r="R39" s="7" t="s">
        <v>0</v>
      </c>
    </row>
    <row r="40" spans="1:18" x14ac:dyDescent="0.3">
      <c r="A40" s="2">
        <v>9</v>
      </c>
      <c r="B40" s="2" t="s">
        <v>102</v>
      </c>
      <c r="C40" s="2" t="s">
        <v>103</v>
      </c>
      <c r="D40" s="2" t="s">
        <v>42</v>
      </c>
      <c r="E40" s="2" t="s">
        <v>106</v>
      </c>
      <c r="F40" s="2" t="s">
        <v>107</v>
      </c>
      <c r="G40" s="3">
        <v>40</v>
      </c>
      <c r="H40" s="3">
        <v>8.85</v>
      </c>
      <c r="I40" s="3">
        <v>89</v>
      </c>
      <c r="J40" s="3">
        <v>4</v>
      </c>
      <c r="K40" s="3">
        <v>1.03</v>
      </c>
      <c r="L40" s="3">
        <v>8.57</v>
      </c>
      <c r="M40" s="2" t="s">
        <v>60</v>
      </c>
      <c r="N40" s="2" t="str">
        <f t="shared" si="0"/>
        <v>Type mean, n of 30 or more</v>
      </c>
      <c r="O40" s="4">
        <f>H40/G40</f>
        <v>0.22125</v>
      </c>
      <c r="P40" s="3">
        <v>8.6</v>
      </c>
      <c r="Q40" s="5">
        <f t="shared" si="1"/>
        <v>0.25</v>
      </c>
      <c r="R40" s="7" t="s">
        <v>0</v>
      </c>
    </row>
  </sheetData>
  <hyperlinks>
    <hyperlink ref="R2" r:id="rId1" xr:uid="{FE927368-004E-49E5-9CC2-4E79CE359CBE}"/>
    <hyperlink ref="R3:R40" r:id="rId2" display="https://www.academia.edu/83883614/A_Metrological_Survey_of_Ptolemaic_Bronze_Coins_II_Alexandria_First_and_Second_Centuries_BC" xr:uid="{588C0AC8-8190-4E4E-A36E-477446006855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zoomScaleNormal="100" workbookViewId="0">
      <pane ySplit="1" topLeftCell="A2" activePane="bottomLeft" state="frozen"/>
      <selection pane="bottomLeft" activeCell="F19" sqref="F19:F20"/>
    </sheetView>
  </sheetViews>
  <sheetFormatPr defaultColWidth="8.6640625" defaultRowHeight="14.4" x14ac:dyDescent="0.3"/>
  <cols>
    <col min="1" max="1" width="8" customWidth="1"/>
    <col min="2" max="2" width="42" customWidth="1"/>
    <col min="3" max="3" width="40" customWidth="1"/>
    <col min="4" max="4" width="8" customWidth="1"/>
    <col min="5" max="5" width="12" customWidth="1"/>
    <col min="6" max="6" width="10" customWidth="1"/>
    <col min="7" max="8" width="12" customWidth="1"/>
    <col min="9" max="9" width="14" customWidth="1"/>
  </cols>
  <sheetData>
    <row r="1" spans="1:9" ht="45" customHeight="1" x14ac:dyDescent="0.3">
      <c r="A1" s="1" t="s">
        <v>1</v>
      </c>
      <c r="B1" s="1" t="s">
        <v>10</v>
      </c>
      <c r="C1" s="1" t="s">
        <v>11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</row>
    <row r="2" spans="1:9" x14ac:dyDescent="0.3">
      <c r="A2" s="2">
        <v>1</v>
      </c>
      <c r="B2" s="2" t="s">
        <v>20</v>
      </c>
      <c r="C2" s="2" t="s">
        <v>21</v>
      </c>
      <c r="D2" s="2">
        <f>COUNTIF(Coins!$B$2:$B$40,B2)</f>
        <v>10</v>
      </c>
      <c r="E2" s="2">
        <f>SUMIF(Coins!$B$2:$B$40,B2,Coins!$I$2:$I$40)</f>
        <v>379</v>
      </c>
      <c r="F2" s="4">
        <f>AVERAGEIF(Coins!$B$2:$B$40,B2,Coins!$O$2:$O$40)</f>
        <v>0.38499999999999995</v>
      </c>
      <c r="G2" s="2">
        <f>SUMPRODUCT(MAX((Coins!$B$2:$B$40=B2)*Coins!$G$2:$G$40))</f>
        <v>100</v>
      </c>
      <c r="H2" s="2">
        <f>SUMPRODUCT(MAX((Coins!$B$2:$B$40=B2)*Coins!$H$2:$H$40))</f>
        <v>40.700000000000003</v>
      </c>
      <c r="I2" s="6">
        <f t="shared" ref="I2:I10" si="0">F2/$F$2-1</f>
        <v>0</v>
      </c>
    </row>
    <row r="3" spans="1:9" x14ac:dyDescent="0.3">
      <c r="A3" s="2">
        <v>2</v>
      </c>
      <c r="B3" s="2" t="s">
        <v>47</v>
      </c>
      <c r="C3" s="2" t="s">
        <v>48</v>
      </c>
      <c r="D3" s="2">
        <f>COUNTIF(Coins!$B$2:$B$40,B3)</f>
        <v>5</v>
      </c>
      <c r="E3" s="2">
        <f>SUMIF(Coins!$B$2:$B$40,B3,Coins!$I$2:$I$40)</f>
        <v>1363</v>
      </c>
      <c r="F3" s="4">
        <f>AVERAGEIF(Coins!$B$2:$B$40,B3,Coins!$O$2:$O$40)</f>
        <v>0.22159999999999996</v>
      </c>
      <c r="G3" s="2">
        <f>SUMPRODUCT(MAX((Coins!$B$2:$B$40=B3)*Coins!$G$2:$G$40))</f>
        <v>100</v>
      </c>
      <c r="H3" s="2">
        <f>SUMPRODUCT(MAX((Coins!$B$2:$B$40=B3)*Coins!$H$2:$H$40))</f>
        <v>22.5</v>
      </c>
      <c r="I3" s="6">
        <f t="shared" si="0"/>
        <v>-0.42441558441558447</v>
      </c>
    </row>
    <row r="4" spans="1:9" x14ac:dyDescent="0.3">
      <c r="A4" s="2">
        <v>3</v>
      </c>
      <c r="B4" s="2" t="s">
        <v>57</v>
      </c>
      <c r="C4" s="2" t="s">
        <v>48</v>
      </c>
      <c r="D4" s="2">
        <f>COUNTIF(Coins!$B$2:$B$40,B4)</f>
        <v>6</v>
      </c>
      <c r="E4" s="2">
        <f>SUMIF(Coins!$B$2:$B$40,B4,Coins!$I$2:$I$40)</f>
        <v>161</v>
      </c>
      <c r="F4" s="4">
        <f>AVERAGEIF(Coins!$B$2:$B$40,B4,Coins!$O$2:$O$40)</f>
        <v>0.21977777777777777</v>
      </c>
      <c r="G4" s="2">
        <f>SUMPRODUCT(MAX((Coins!$B$2:$B$40=B4)*Coins!$G$2:$G$40))</f>
        <v>100</v>
      </c>
      <c r="H4" s="2">
        <f>SUMPRODUCT(MAX((Coins!$B$2:$B$40=B4)*Coins!$H$2:$H$40))</f>
        <v>21.6</v>
      </c>
      <c r="I4" s="6">
        <f t="shared" si="0"/>
        <v>-0.42914862914862906</v>
      </c>
    </row>
    <row r="5" spans="1:9" x14ac:dyDescent="0.3">
      <c r="A5" s="2">
        <v>4</v>
      </c>
      <c r="B5" s="2" t="s">
        <v>68</v>
      </c>
      <c r="C5" s="2" t="s">
        <v>48</v>
      </c>
      <c r="D5" s="2">
        <f>COUNTIF(Coins!$B$2:$B$40,B5)</f>
        <v>3</v>
      </c>
      <c r="E5" s="2">
        <f>SUMIF(Coins!$B$2:$B$40,B5,Coins!$I$2:$I$40)</f>
        <v>1738</v>
      </c>
      <c r="F5" s="4">
        <f>AVERAGEIF(Coins!$B$2:$B$40,B5,Coins!$O$2:$O$40)</f>
        <v>0.19233333333333333</v>
      </c>
      <c r="G5" s="2">
        <f>SUMPRODUCT(MAX((Coins!$B$2:$B$40=B5)*Coins!$G$2:$G$40))</f>
        <v>120</v>
      </c>
      <c r="H5" s="2">
        <f>SUMPRODUCT(MAX((Coins!$B$2:$B$40=B5)*Coins!$H$2:$H$40))</f>
        <v>22.5</v>
      </c>
      <c r="I5" s="6">
        <f t="shared" si="0"/>
        <v>-0.50043290043290045</v>
      </c>
    </row>
    <row r="6" spans="1:9" x14ac:dyDescent="0.3">
      <c r="A6" s="2">
        <v>5</v>
      </c>
      <c r="B6" s="2" t="s">
        <v>73</v>
      </c>
      <c r="C6" s="2" t="s">
        <v>74</v>
      </c>
      <c r="D6" s="2">
        <f>COUNTIF(Coins!$B$2:$B$40,B6)</f>
        <v>3</v>
      </c>
      <c r="E6" s="2">
        <f>SUMIF(Coins!$B$2:$B$40,B6,Coins!$I$2:$I$40)</f>
        <v>153</v>
      </c>
      <c r="F6" s="4">
        <f>AVERAGEIF(Coins!$B$2:$B$40,B6,Coins!$O$2:$O$40)</f>
        <v>0.18716666666666668</v>
      </c>
      <c r="G6" s="2">
        <f>SUMPRODUCT(MAX((Coins!$B$2:$B$40=B6)*Coins!$G$2:$G$40))</f>
        <v>120</v>
      </c>
      <c r="H6" s="2">
        <f>SUMPRODUCT(MAX((Coins!$B$2:$B$40=B6)*Coins!$H$2:$H$40))</f>
        <v>23.4</v>
      </c>
      <c r="I6" s="6">
        <f t="shared" si="0"/>
        <v>-0.51385281385281378</v>
      </c>
    </row>
    <row r="7" spans="1:9" x14ac:dyDescent="0.3">
      <c r="A7" s="2">
        <v>6</v>
      </c>
      <c r="B7" s="2" t="s">
        <v>80</v>
      </c>
      <c r="C7" s="2" t="s">
        <v>81</v>
      </c>
      <c r="D7" s="2">
        <f>COUNTIF(Coins!$B$2:$B$40,B7)</f>
        <v>4</v>
      </c>
      <c r="E7" s="2">
        <f>SUMIF(Coins!$B$2:$B$40,B7,Coins!$I$2:$I$40)</f>
        <v>661</v>
      </c>
      <c r="F7" s="4">
        <f>AVERAGEIF(Coins!$B$2:$B$40,B7,Coins!$O$2:$O$40)</f>
        <v>0.18755833333333333</v>
      </c>
      <c r="G7" s="2">
        <f>SUMPRODUCT(MAX((Coins!$B$2:$B$40=B7)*Coins!$G$2:$G$40))</f>
        <v>120</v>
      </c>
      <c r="H7" s="2">
        <f>SUMPRODUCT(MAX((Coins!$B$2:$B$40=B7)*Coins!$H$2:$H$40))</f>
        <v>22.6</v>
      </c>
      <c r="I7" s="6">
        <f t="shared" si="0"/>
        <v>-0.51283549783549787</v>
      </c>
    </row>
    <row r="8" spans="1:9" x14ac:dyDescent="0.3">
      <c r="A8" s="2">
        <v>7</v>
      </c>
      <c r="B8" s="2" t="s">
        <v>86</v>
      </c>
      <c r="C8" s="2" t="s">
        <v>87</v>
      </c>
      <c r="D8" s="2">
        <f>COUNTIF(Coins!$B$2:$B$40,B8)</f>
        <v>4</v>
      </c>
      <c r="E8" s="2">
        <f>SUMIF(Coins!$B$2:$B$40,B8,Coins!$I$2:$I$40)</f>
        <v>302</v>
      </c>
      <c r="F8" s="4">
        <f>AVERAGEIF(Coins!$B$2:$B$40,B8,Coins!$O$2:$O$40)</f>
        <v>0.20934999999999998</v>
      </c>
      <c r="G8" s="2">
        <f>SUMPRODUCT(MAX((Coins!$B$2:$B$40=B8)*Coins!$G$2:$G$40))</f>
        <v>80</v>
      </c>
      <c r="H8" s="2">
        <f>SUMPRODUCT(MAX((Coins!$B$2:$B$40=B8)*Coins!$H$2:$H$40))</f>
        <v>16.5</v>
      </c>
      <c r="I8" s="6">
        <f t="shared" si="0"/>
        <v>-0.45623376623376621</v>
      </c>
    </row>
    <row r="9" spans="1:9" x14ac:dyDescent="0.3">
      <c r="A9" s="2">
        <v>8</v>
      </c>
      <c r="B9" s="2" t="s">
        <v>96</v>
      </c>
      <c r="C9" s="2" t="s">
        <v>97</v>
      </c>
      <c r="D9" s="2">
        <f>COUNTIF(Coins!$B$2:$B$40,B9)</f>
        <v>2</v>
      </c>
      <c r="E9" s="2">
        <f>SUMIF(Coins!$B$2:$B$40,B9,Coins!$I$2:$I$40)</f>
        <v>52</v>
      </c>
      <c r="F9" s="4">
        <f>AVERAGEIF(Coins!$B$2:$B$40,B9,Coins!$O$2:$O$40)</f>
        <v>0.23799999999999999</v>
      </c>
      <c r="G9" s="2">
        <f>SUMPRODUCT(MAX((Coins!$B$2:$B$40=B9)*Coins!$G$2:$G$40))</f>
        <v>5</v>
      </c>
      <c r="H9" s="2">
        <f>SUMPRODUCT(MAX((Coins!$B$2:$B$40=B9)*Coins!$H$2:$H$40))</f>
        <v>1.25</v>
      </c>
      <c r="I9" s="6">
        <f t="shared" si="0"/>
        <v>-0.38181818181818172</v>
      </c>
    </row>
    <row r="10" spans="1:9" x14ac:dyDescent="0.3">
      <c r="A10" s="2">
        <v>9</v>
      </c>
      <c r="B10" s="2" t="s">
        <v>102</v>
      </c>
      <c r="C10" s="2" t="s">
        <v>103</v>
      </c>
      <c r="D10" s="2">
        <f>COUNTIF(Coins!$B$2:$B$40,B10)</f>
        <v>2</v>
      </c>
      <c r="E10" s="2">
        <f>SUMIF(Coins!$B$2:$B$40,B10,Coins!$I$2:$I$40)</f>
        <v>220</v>
      </c>
      <c r="F10" s="4">
        <f>AVERAGEIF(Coins!$B$2:$B$40,B10,Coins!$O$2:$O$40)</f>
        <v>0.21812500000000001</v>
      </c>
      <c r="G10" s="2">
        <f>SUMPRODUCT(MAX((Coins!$B$2:$B$40=B10)*Coins!$G$2:$G$40))</f>
        <v>80</v>
      </c>
      <c r="H10" s="2">
        <f>SUMPRODUCT(MAX((Coins!$B$2:$B$40=B10)*Coins!$H$2:$H$40))</f>
        <v>17.2</v>
      </c>
      <c r="I10" s="6">
        <f t="shared" si="0"/>
        <v>-0.43344155844155829</v>
      </c>
    </row>
    <row r="12" spans="1:9" x14ac:dyDescent="0.3">
      <c r="A12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Coins</vt:lpstr>
      <vt:lpstr>Series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Henry Slater</cp:lastModifiedBy>
  <cp:revision>0</cp:revision>
  <dcterms:created xsi:type="dcterms:W3CDTF">2026-10-05T03:42:14Z</dcterms:created>
  <dcterms:modified xsi:type="dcterms:W3CDTF">2026-10-05T03:49:38Z</dcterms:modified>
  <dc:language>en-US</dc:language>
</cp:coreProperties>
</file>